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 camp\"/>
    </mc:Choice>
  </mc:AlternateContent>
  <bookViews>
    <workbookView xWindow="0" yWindow="0" windowWidth="17355" windowHeight="5775" tabRatio="498"/>
  </bookViews>
  <sheets>
    <sheet name="Lab" sheetId="8" r:id="rId1"/>
    <sheet name="Stock" sheetId="6" r:id="rId2"/>
    <sheet name="Unicode" sheetId="5" r:id="rId3"/>
    <sheet name="Japanese" sheetId="7" r:id="rId4"/>
  </sheets>
  <functionGroups builtInGroupCount="18"/>
  <definedNames>
    <definedName name="_data" localSheetId="0">#REF!</definedName>
    <definedName name="_data" localSheetId="2">Unicode!$A$1:$F$13</definedName>
    <definedName name="_data">#REF!</definedName>
    <definedName name="_xlnm._FilterDatabase" localSheetId="2" hidden="1">Unicode!$C$1:$C$13</definedName>
    <definedName name="_xlnm.Extract" localSheetId="2">Unicode!#REF!</definedName>
  </definedNames>
  <calcPr calcId="152511"/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1" i="5"/>
  <c r="D12" i="5"/>
  <c r="D13" i="5"/>
  <c r="D2" i="5"/>
  <c r="E3" i="5"/>
  <c r="E4" i="5"/>
  <c r="E5" i="5"/>
  <c r="E6" i="5"/>
  <c r="E7" i="5"/>
  <c r="E8" i="5"/>
  <c r="E9" i="5"/>
  <c r="E10" i="5"/>
  <c r="E11" i="5"/>
  <c r="E12" i="5"/>
  <c r="E13" i="5"/>
  <c r="E2" i="5"/>
  <c r="K6" i="8"/>
  <c r="K7" i="8"/>
  <c r="K8" i="8"/>
  <c r="K9" i="8"/>
  <c r="K10" i="8"/>
  <c r="K11" i="8"/>
  <c r="K12" i="8"/>
  <c r="K13" i="8"/>
  <c r="K2" i="8"/>
  <c r="K14" i="8"/>
  <c r="K15" i="8"/>
  <c r="K4" i="8"/>
  <c r="K5" i="8"/>
  <c r="K3" i="8"/>
  <c r="K1" i="8"/>
  <c r="I2" i="5"/>
  <c r="I6" i="5"/>
  <c r="I3" i="5"/>
  <c r="I5" i="5"/>
  <c r="I7" i="5"/>
  <c r="I8" i="5"/>
  <c r="I9" i="5"/>
  <c r="I10" i="5"/>
  <c r="I13" i="5"/>
  <c r="I4" i="5"/>
  <c r="I12" i="5"/>
  <c r="I11" i="5"/>
  <c r="I1" i="5"/>
  <c r="I1" i="7"/>
  <c r="F1" i="7"/>
  <c r="F2" i="7"/>
  <c r="F3" i="7"/>
  <c r="I3" i="7"/>
  <c r="F4" i="7"/>
  <c r="I4" i="7"/>
  <c r="I2" i="6"/>
  <c r="I2" i="7"/>
  <c r="G3" i="5" l="1"/>
  <c r="G4" i="5"/>
  <c r="G5" i="5"/>
  <c r="G6" i="5"/>
  <c r="G7" i="5"/>
  <c r="G8" i="5"/>
  <c r="G9" i="5"/>
  <c r="G10" i="5"/>
  <c r="G11" i="5"/>
  <c r="G12" i="5"/>
  <c r="G13" i="5"/>
  <c r="G2" i="5"/>
</calcChain>
</file>

<file path=xl/sharedStrings.xml><?xml version="1.0" encoding="utf-8"?>
<sst xmlns="http://schemas.openxmlformats.org/spreadsheetml/2006/main" count="99" uniqueCount="56">
  <si>
    <t>ชื่อ</t>
  </si>
  <si>
    <t>เพศ</t>
  </si>
  <si>
    <t>ตำแหน่ง</t>
  </si>
  <si>
    <t>เงินเดือน</t>
  </si>
  <si>
    <t>M</t>
  </si>
  <si>
    <t>ผู้จัดการ</t>
  </si>
  <si>
    <t>F</t>
  </si>
  <si>
    <t>เจ้าหน้าที่อาวุโส</t>
  </si>
  <si>
    <t>ผู้ช่วยผู้จัดการ</t>
  </si>
  <si>
    <t>ผู้ชำนาญงาน</t>
  </si>
  <si>
    <t>พนักงานระดับต้น</t>
  </si>
  <si>
    <t>พลอยไพลิน</t>
  </si>
  <si>
    <t>ปลายฟ้า</t>
  </si>
  <si>
    <t>เพียงดาว</t>
  </si>
  <si>
    <t>ทอรุ้ง</t>
  </si>
  <si>
    <t>ฟ้าใส</t>
  </si>
  <si>
    <t>กอหญ้า</t>
  </si>
  <si>
    <t>เกนหลง</t>
  </si>
  <si>
    <t>เขมชาติ</t>
  </si>
  <si>
    <t>เอื้อ</t>
  </si>
  <si>
    <t>ต้นน้ำ</t>
  </si>
  <si>
    <t>เพชร</t>
  </si>
  <si>
    <t>โบนัส</t>
  </si>
  <si>
    <t>พนักงานขาย</t>
  </si>
  <si>
    <t>สินเชื่อ</t>
  </si>
  <si>
    <t>เอกชาติ</t>
  </si>
  <si>
    <t>Date</t>
  </si>
  <si>
    <t>Open</t>
  </si>
  <si>
    <t>High</t>
  </si>
  <si>
    <t>Low</t>
  </si>
  <si>
    <t>Close</t>
  </si>
  <si>
    <t>Volume</t>
  </si>
  <si>
    <t>Stock</t>
  </si>
  <si>
    <t>AOT</t>
  </si>
  <si>
    <t>こんにちは</t>
  </si>
  <si>
    <t>虹</t>
  </si>
  <si>
    <t>hello</t>
  </si>
  <si>
    <t>rainbow</t>
  </si>
  <si>
    <t>太陽</t>
  </si>
  <si>
    <t>sun</t>
  </si>
  <si>
    <t>Japanese</t>
  </si>
  <si>
    <t>English</t>
  </si>
  <si>
    <t>วันเริ่มงาน</t>
  </si>
  <si>
    <t>วันเกิด</t>
  </si>
  <si>
    <t>Thai</t>
  </si>
  <si>
    <t>สวัสดี</t>
  </si>
  <si>
    <t>สายรุ้ง</t>
  </si>
  <si>
    <t>พระอาทิตย์</t>
  </si>
  <si>
    <t>Lot</t>
  </si>
  <si>
    <t>Brightness</t>
  </si>
  <si>
    <t>Yellowness</t>
  </si>
  <si>
    <t>L</t>
  </si>
  <si>
    <t>a</t>
  </si>
  <si>
    <t>b</t>
  </si>
  <si>
    <t>VC</t>
  </si>
  <si>
    <t>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</si>
</sst>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(* #,##0.00_);_(* \(#,##0.00\);_(* &quot;-&quot;??_);_(@_)"/>
    <numFmt numFmtId="164" formatCode="#,##0.00,,&quot;m&quot;_);[Red]\(#,##0.00,,&quot;m&quot;\);_(* &quot;-&quot;??_);_(@_)"/>
    <numFmt numFmtId="165" formatCode="0.00%_);[Red]\(0.00%\)"/>
    <numFmt numFmtId="166" formatCode="&quot;  &quot;@"/>
    <numFmt numFmtId="167" formatCode="&quot;   &quot;@"/>
    <numFmt numFmtId="168" formatCode="#,##0.0000_);[Red]\(#,##0.0000\)"/>
    <numFmt numFmtId="169" formatCode="#,##0,,_);[Red]\(#,##0,,\)"/>
    <numFmt numFmtId="170" formatCode="#,##0,,&quot;m&quot;_);[Red]\(#,##0,,&quot;m&quot;\)"/>
    <numFmt numFmtId="171" formatCode="#,##0.00,,_);[Red]\(#,##0.00,,\)"/>
    <numFmt numFmtId="172" formatCode="@_)"/>
    <numFmt numFmtId="173" formatCode="[$-1070000]d\ mmm\ yyyy_);@_)"/>
    <numFmt numFmtId="174" formatCode="[$-D07041E]#,##0.00_);@_)"/>
    <numFmt numFmtId="175" formatCode="General_)"/>
    <numFmt numFmtId="176" formatCode="#,##0_);[Red]\-#,##0_)"/>
    <numFmt numFmtId="177" formatCode="#,##0.00_);[Red]\-#,##0.00_)"/>
    <numFmt numFmtId="178" formatCode="[$-409]d\-mmm\-yy_);@_)"/>
    <numFmt numFmtId="179" formatCode="[$-409]d\-mmm\-yy;@"/>
    <numFmt numFmtId="180" formatCode="[$-107041E]d\ mmm\ yy;@"/>
  </numFmts>
  <fonts count="20">
    <font>
      <sz val="11"/>
      <color theme="1" tint="0.34998626667073579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0.1499679555650502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5"/>
      <color theme="3"/>
      <name val="Calibri"/>
      <family val="2"/>
      <charset val="222"/>
      <scheme val="minor"/>
    </font>
    <font>
      <sz val="13"/>
      <color theme="3"/>
      <name val="Calibri"/>
      <family val="2"/>
      <charset val="222"/>
      <scheme val="minor"/>
    </font>
    <font>
      <sz val="11"/>
      <color theme="3"/>
      <name val="Calibri"/>
      <family val="2"/>
      <charset val="222"/>
      <scheme val="minor"/>
    </font>
    <font>
      <sz val="11"/>
      <color theme="0" tint="-0.499984740745262"/>
      <name val="Calibri"/>
      <family val="2"/>
      <scheme val="minor"/>
    </font>
    <font>
      <sz val="11"/>
      <color rgb="FFFA7D00"/>
      <name val="Calibri"/>
      <family val="2"/>
    </font>
    <font>
      <sz val="11"/>
      <color theme="1" tint="0.24994659260841701"/>
      <name val="Calibri"/>
      <family val="2"/>
    </font>
    <font>
      <sz val="11"/>
      <color rgb="FF626262"/>
      <name val="Calibri"/>
      <family val="2"/>
    </font>
    <font>
      <sz val="11"/>
      <color rgb="FF728E3A"/>
      <name val="Calibri"/>
      <family val="2"/>
    </font>
    <font>
      <sz val="11"/>
      <color rgb="FF8064A2"/>
      <name val="Calibri"/>
      <family val="2"/>
    </font>
    <font>
      <sz val="11"/>
      <name val="Calibri"/>
      <family val="2"/>
      <charset val="222"/>
      <scheme val="minor"/>
    </font>
    <font>
      <sz val="11"/>
      <color theme="1" tint="0.34998626667073579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5" tint="0.39994506668294322"/>
      </top>
      <bottom style="double">
        <color theme="5" tint="0.3999450666829432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9"/>
      </bottom>
      <diagonal/>
    </border>
  </borders>
  <cellStyleXfs count="27">
    <xf numFmtId="0" fontId="0" fillId="0" borderId="0"/>
    <xf numFmtId="0" fontId="16" fillId="0" borderId="0" applyNumberFormat="0" applyFill="0" applyBorder="0" applyAlignment="0">
      <protection locked="0"/>
    </xf>
    <xf numFmtId="0" fontId="13" fillId="0" borderId="0" applyNumberFormat="0" applyFill="0" applyBorder="0" applyAlignment="0"/>
    <xf numFmtId="0" fontId="17" fillId="0" borderId="0" applyNumberFormat="0" applyFill="0" applyBorder="0" applyAlignment="0"/>
    <xf numFmtId="171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68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14" fillId="2" borderId="2" applyNumberFormat="0" applyAlignment="0" applyProtection="0"/>
    <xf numFmtId="0" fontId="14" fillId="0" borderId="1" applyNumberFormat="0" applyFill="0" applyAlignment="0" applyProtection="0"/>
    <xf numFmtId="172" fontId="6" fillId="0" borderId="0" applyFont="0" applyFill="0" applyBorder="0" applyProtection="0">
      <alignment horizontal="right"/>
    </xf>
    <xf numFmtId="173" fontId="6" fillId="0" borderId="0" applyFont="0" applyFill="0" applyBorder="0" applyAlignment="0" applyProtection="0"/>
    <xf numFmtId="174" fontId="6" fillId="0" borderId="0"/>
    <xf numFmtId="175" fontId="7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11" fillId="0" borderId="3" applyNumberFormat="0" applyFill="0" applyAlignment="0" applyProtection="0"/>
    <xf numFmtId="0" fontId="10" fillId="0" borderId="4" applyNumberFormat="0" applyFill="0" applyAlignment="0" applyProtection="0"/>
    <xf numFmtId="178" fontId="8" fillId="0" borderId="0" applyFont="0" applyFill="0" applyBorder="0" applyAlignment="0" applyProtection="0"/>
    <xf numFmtId="175" fontId="12" fillId="0" borderId="0" applyNumberFormat="0" applyFill="0" applyBorder="0" applyAlignment="0" applyProtection="0"/>
    <xf numFmtId="43" fontId="19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ill="1"/>
    <xf numFmtId="176" fontId="0" fillId="0" borderId="0" xfId="9" applyFont="1"/>
    <xf numFmtId="0" fontId="18" fillId="0" borderId="3" xfId="22" applyFont="1"/>
    <xf numFmtId="172" fontId="18" fillId="0" borderId="3" xfId="17" applyFont="1" applyBorder="1">
      <alignment horizontal="right"/>
    </xf>
    <xf numFmtId="14" fontId="0" fillId="0" borderId="0" xfId="0" applyNumberFormat="1"/>
    <xf numFmtId="0" fontId="11" fillId="0" borderId="3" xfId="22"/>
    <xf numFmtId="0" fontId="0" fillId="0" borderId="0" xfId="9" applyNumberFormat="1" applyFont="1"/>
    <xf numFmtId="43" fontId="0" fillId="0" borderId="0" xfId="26" applyFont="1"/>
    <xf numFmtId="179" fontId="0" fillId="0" borderId="0" xfId="0" applyNumberFormat="1"/>
    <xf numFmtId="180" fontId="0" fillId="0" borderId="0" xfId="0" applyNumberFormat="1"/>
  </cellXfs>
  <cellStyles count="27">
    <cellStyle name="Comma (0)" xfId="9"/>
    <cellStyle name="Comma (2 th)" xfId="19"/>
    <cellStyle name="Comma (2)" xfId="10"/>
    <cellStyle name="Comma (4)" xfId="11"/>
    <cellStyle name="Darker" xfId="20"/>
    <cellStyle name="Date (en short)" xfId="24"/>
    <cellStyle name="Date (th short)" xfId="18"/>
    <cellStyle name="Indent 2" xfId="13"/>
    <cellStyle name="Indent 3" xfId="14"/>
    <cellStyle name="Lighter" xfId="25"/>
    <cellStyle name="Million (0)" xfId="5"/>
    <cellStyle name="Million (0m)" xfId="6"/>
    <cellStyle name="Million (2)" xfId="4"/>
    <cellStyle name="Million (2m)" xfId="7"/>
    <cellStyle name="Percent 2" xfId="12"/>
    <cellStyle name="Right" xfId="17"/>
    <cellStyle name="เครื่องหมายจุลภาค" xfId="26" builtinId="3"/>
    <cellStyle name="เซลล์ตรวจสอบ" xfId="15" builtinId="23" customBuiltin="1"/>
    <cellStyle name="แสดงผล" xfId="3" builtinId="21" customBuiltin="1"/>
    <cellStyle name="การคำนวณ" xfId="2" builtinId="22" customBuiltin="1"/>
    <cellStyle name="ข้อความอธิบาย" xfId="8" builtinId="53" customBuiltin="1"/>
    <cellStyle name="ปกติ" xfId="0" builtinId="0" customBuiltin="1"/>
    <cellStyle name="ป้อนค่า" xfId="1" builtinId="20" customBuiltin="1"/>
    <cellStyle name="ผลรวม" xfId="16" builtinId="25" customBuiltin="1"/>
    <cellStyle name="หัวเรื่อง 1" xfId="21" builtinId="16" customBuiltin="1"/>
    <cellStyle name="หัวเรื่อง 2" xfId="23" builtinId="17" customBuiltin="1"/>
    <cellStyle name="หัวเรื่อง 3" xfId="22" builtinId="18" customBuiltin="1"/>
  </cellStyles>
  <dxfs count="0"/>
  <tableStyles count="0" defaultTableStyle="TableStyleMedium9" defaultPivotStyle="PivotStyleLight16"/>
  <colors>
    <mruColors>
      <color rgb="FF8064A2"/>
      <color rgb="FF626262"/>
      <color rgb="FF4F81BD"/>
      <color rgb="FFFA7D00"/>
      <color rgb="FF728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tabSelected="1" workbookViewId="0">
      <selection activeCell="N6" sqref="N6"/>
    </sheetView>
  </sheetViews>
  <sheetFormatPr defaultRowHeight="15"/>
  <cols>
    <col min="2" max="2" width="10.7109375" bestFit="1" customWidth="1"/>
    <col min="3" max="3" width="10.7109375" customWidth="1"/>
    <col min="4" max="4" width="13.140625" customWidth="1"/>
    <col min="9" max="9" width="13.28515625" bestFit="1" customWidth="1"/>
  </cols>
  <sheetData>
    <row r="1" spans="1:11" ht="15.75" thickBot="1">
      <c r="A1" s="6" t="s">
        <v>48</v>
      </c>
      <c r="B1" s="6" t="s">
        <v>26</v>
      </c>
      <c r="C1" s="6" t="s">
        <v>49</v>
      </c>
      <c r="D1" s="6" t="s">
        <v>50</v>
      </c>
      <c r="E1" s="6" t="s">
        <v>54</v>
      </c>
      <c r="F1" s="6" t="s">
        <v>51</v>
      </c>
      <c r="G1" s="6" t="s">
        <v>52</v>
      </c>
      <c r="H1" s="6" t="s">
        <v>53</v>
      </c>
      <c r="I1" s="6" t="s">
        <v>55</v>
      </c>
      <c r="K1" t="str">
        <f>toCSV(A1:I1,"|")</f>
        <v>Lot|Date|Brightness|Yellowness|VC|L|a|b|kg</v>
      </c>
    </row>
    <row r="2" spans="1:11">
      <c r="A2" t="s">
        <v>33</v>
      </c>
      <c r="B2" s="5">
        <v>42296</v>
      </c>
      <c r="C2">
        <v>303</v>
      </c>
      <c r="D2">
        <v>303</v>
      </c>
      <c r="E2">
        <v>0.9</v>
      </c>
      <c r="F2">
        <v>303</v>
      </c>
      <c r="G2">
        <v>298</v>
      </c>
      <c r="H2">
        <v>298</v>
      </c>
      <c r="I2" s="8">
        <v>1941800</v>
      </c>
      <c r="K2" t="str">
        <f t="shared" ref="K2:K15" si="0">toCSV(A2:I2,"|")</f>
        <v>AOT|10/19/2015|303|303|0.9|303|298|298|1941800</v>
      </c>
    </row>
    <row r="3" spans="1:11">
      <c r="A3" t="s">
        <v>33</v>
      </c>
      <c r="B3" s="5">
        <v>42297</v>
      </c>
      <c r="C3">
        <v>297</v>
      </c>
      <c r="D3">
        <v>297</v>
      </c>
      <c r="E3">
        <v>0.9</v>
      </c>
      <c r="F3">
        <v>302</v>
      </c>
      <c r="G3">
        <v>296</v>
      </c>
      <c r="H3">
        <v>300</v>
      </c>
      <c r="I3" s="8">
        <v>1553000</v>
      </c>
      <c r="K3" t="str">
        <f t="shared" si="0"/>
        <v>AOT|10/20/2015|297|297|0.9|302|296|300|1553000</v>
      </c>
    </row>
    <row r="4" spans="1:11">
      <c r="A4" t="s">
        <v>33</v>
      </c>
      <c r="B4" s="5">
        <v>42298</v>
      </c>
      <c r="C4">
        <v>301</v>
      </c>
      <c r="D4">
        <v>301</v>
      </c>
      <c r="E4">
        <v>0.9</v>
      </c>
      <c r="F4">
        <v>302</v>
      </c>
      <c r="G4">
        <v>298</v>
      </c>
      <c r="H4">
        <v>300</v>
      </c>
      <c r="I4" s="8">
        <v>1856000</v>
      </c>
      <c r="K4" t="str">
        <f t="shared" si="0"/>
        <v>AOT|10/21/2015|301|301|0.9|302|298|300|1856000</v>
      </c>
    </row>
    <row r="5" spans="1:11">
      <c r="A5" t="s">
        <v>33</v>
      </c>
      <c r="B5" s="5">
        <v>42299</v>
      </c>
      <c r="C5">
        <v>301</v>
      </c>
      <c r="D5">
        <v>301</v>
      </c>
      <c r="E5">
        <v>0.9</v>
      </c>
      <c r="F5">
        <v>302</v>
      </c>
      <c r="G5">
        <v>298</v>
      </c>
      <c r="H5">
        <v>298</v>
      </c>
      <c r="I5" s="8">
        <v>1571600</v>
      </c>
      <c r="K5" t="str">
        <f t="shared" si="0"/>
        <v>AOT|10/22/2015|301|301|0.9|302|298|298|1571600</v>
      </c>
    </row>
    <row r="6" spans="1:11">
      <c r="A6" t="s">
        <v>33</v>
      </c>
      <c r="B6" s="5">
        <v>42303</v>
      </c>
      <c r="C6">
        <v>302</v>
      </c>
      <c r="D6">
        <v>302</v>
      </c>
      <c r="E6">
        <v>0.9</v>
      </c>
      <c r="F6">
        <v>303</v>
      </c>
      <c r="G6">
        <v>299</v>
      </c>
      <c r="H6">
        <v>302</v>
      </c>
      <c r="I6" s="8">
        <v>3737100</v>
      </c>
      <c r="K6" t="str">
        <f t="shared" si="0"/>
        <v>AOT|10/26/2015|302|302|0.9|303|299|302|3737100</v>
      </c>
    </row>
    <row r="7" spans="1:11">
      <c r="A7" t="s">
        <v>33</v>
      </c>
      <c r="B7" s="5">
        <v>42304</v>
      </c>
      <c r="C7">
        <v>302</v>
      </c>
      <c r="D7">
        <v>302</v>
      </c>
      <c r="E7">
        <v>0.9</v>
      </c>
      <c r="F7">
        <v>303</v>
      </c>
      <c r="G7">
        <v>299</v>
      </c>
      <c r="H7">
        <v>301</v>
      </c>
      <c r="I7" s="8">
        <v>1927100</v>
      </c>
      <c r="K7" t="str">
        <f t="shared" si="0"/>
        <v>AOT|10/27/2015|302|302|0.9|303|299|301|1927100</v>
      </c>
    </row>
    <row r="8" spans="1:11">
      <c r="A8" t="s">
        <v>33</v>
      </c>
      <c r="B8" s="5">
        <v>42305</v>
      </c>
      <c r="C8">
        <v>299</v>
      </c>
      <c r="D8">
        <v>299</v>
      </c>
      <c r="E8">
        <v>0.9</v>
      </c>
      <c r="F8">
        <v>303</v>
      </c>
      <c r="G8">
        <v>298</v>
      </c>
      <c r="H8">
        <v>299</v>
      </c>
      <c r="I8" s="8">
        <v>2318500</v>
      </c>
      <c r="K8" t="str">
        <f t="shared" si="0"/>
        <v>AOT|10/28/2015|299|299|0.9|303|298|299|2318500</v>
      </c>
    </row>
    <row r="9" spans="1:11">
      <c r="A9" t="s">
        <v>33</v>
      </c>
      <c r="B9" s="5">
        <v>42306</v>
      </c>
      <c r="C9">
        <v>299</v>
      </c>
      <c r="D9">
        <v>299</v>
      </c>
      <c r="E9">
        <v>0.9</v>
      </c>
      <c r="F9">
        <v>301</v>
      </c>
      <c r="G9">
        <v>293</v>
      </c>
      <c r="H9">
        <v>295</v>
      </c>
      <c r="I9" s="8">
        <v>2928600</v>
      </c>
      <c r="K9" t="str">
        <f t="shared" si="0"/>
        <v>AOT|10/29/2015|299|299|0.9|301|293|295|2928600</v>
      </c>
    </row>
    <row r="10" spans="1:11">
      <c r="A10" t="s">
        <v>33</v>
      </c>
      <c r="B10" s="5">
        <v>42307</v>
      </c>
      <c r="C10">
        <v>296</v>
      </c>
      <c r="D10">
        <v>296</v>
      </c>
      <c r="E10">
        <v>0.9</v>
      </c>
      <c r="F10">
        <v>298</v>
      </c>
      <c r="G10">
        <v>295</v>
      </c>
      <c r="H10">
        <v>298</v>
      </c>
      <c r="I10" s="8">
        <v>2257100</v>
      </c>
      <c r="K10" t="str">
        <f t="shared" si="0"/>
        <v>AOT|10/30/2015|296|296|0.9|298|295|298|2257100</v>
      </c>
    </row>
    <row r="11" spans="1:11">
      <c r="A11" t="s">
        <v>33</v>
      </c>
      <c r="B11" s="5">
        <v>42310</v>
      </c>
      <c r="C11">
        <v>299</v>
      </c>
      <c r="D11">
        <v>299</v>
      </c>
      <c r="E11">
        <v>0.9</v>
      </c>
      <c r="F11">
        <v>304</v>
      </c>
      <c r="G11">
        <v>297</v>
      </c>
      <c r="H11">
        <v>304</v>
      </c>
      <c r="I11" s="8">
        <v>2348900</v>
      </c>
      <c r="K11" t="str">
        <f t="shared" si="0"/>
        <v>AOT|11/2/2015|299|299|0.9|304|297|304|2348900</v>
      </c>
    </row>
    <row r="12" spans="1:11">
      <c r="A12" t="s">
        <v>33</v>
      </c>
      <c r="B12" s="5">
        <v>42311</v>
      </c>
      <c r="C12">
        <v>305</v>
      </c>
      <c r="D12">
        <v>305</v>
      </c>
      <c r="E12">
        <v>0.9</v>
      </c>
      <c r="F12">
        <v>305</v>
      </c>
      <c r="G12">
        <v>302</v>
      </c>
      <c r="H12">
        <v>305</v>
      </c>
      <c r="I12" s="8">
        <v>2709000</v>
      </c>
      <c r="K12" t="str">
        <f t="shared" si="0"/>
        <v>AOT|11/3/2015|305|305|0.9|305|302|305|2709000</v>
      </c>
    </row>
    <row r="13" spans="1:11">
      <c r="A13" t="s">
        <v>33</v>
      </c>
      <c r="B13" s="5">
        <v>42312</v>
      </c>
      <c r="C13">
        <v>305</v>
      </c>
      <c r="D13">
        <v>305</v>
      </c>
      <c r="E13">
        <v>0.9</v>
      </c>
      <c r="F13">
        <v>309</v>
      </c>
      <c r="G13">
        <v>304</v>
      </c>
      <c r="H13">
        <v>307</v>
      </c>
      <c r="I13" s="8">
        <v>4109700</v>
      </c>
      <c r="K13" t="str">
        <f t="shared" si="0"/>
        <v>AOT|11/4/2015|305|305|0.9|309|304|307|4109700</v>
      </c>
    </row>
    <row r="14" spans="1:11">
      <c r="A14" t="s">
        <v>33</v>
      </c>
      <c r="B14" s="5">
        <v>42313</v>
      </c>
      <c r="C14">
        <v>307</v>
      </c>
      <c r="D14">
        <v>307</v>
      </c>
      <c r="E14">
        <v>0.9</v>
      </c>
      <c r="F14">
        <v>308</v>
      </c>
      <c r="G14">
        <v>304</v>
      </c>
      <c r="H14">
        <v>308</v>
      </c>
      <c r="I14" s="8">
        <v>1258700</v>
      </c>
      <c r="K14" t="str">
        <f t="shared" si="0"/>
        <v>AOT|11/5/2015|307|307|0.9|308|304|308|1258700</v>
      </c>
    </row>
    <row r="15" spans="1:11">
      <c r="A15" t="s">
        <v>33</v>
      </c>
      <c r="B15" s="5">
        <v>42314</v>
      </c>
      <c r="C15">
        <v>308</v>
      </c>
      <c r="D15">
        <v>308</v>
      </c>
      <c r="E15">
        <v>0.9</v>
      </c>
      <c r="F15">
        <v>309</v>
      </c>
      <c r="G15">
        <v>306</v>
      </c>
      <c r="H15">
        <v>308</v>
      </c>
      <c r="I15" s="8">
        <v>1209600</v>
      </c>
      <c r="K15" t="str">
        <f t="shared" si="0"/>
        <v>AOT|11/6/2015|308|308|0.9|309|306|308|1209600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"/>
  <sheetViews>
    <sheetView workbookViewId="0">
      <selection activeCell="I3" sqref="I3"/>
    </sheetView>
  </sheetViews>
  <sheetFormatPr defaultRowHeight="15"/>
  <cols>
    <col min="2" max="2" width="10.7109375" bestFit="1" customWidth="1"/>
    <col min="7" max="7" width="13.28515625" bestFit="1" customWidth="1"/>
  </cols>
  <sheetData>
    <row r="1" spans="1:9" ht="15.75" thickBot="1">
      <c r="A1" s="6" t="s">
        <v>32</v>
      </c>
      <c r="B1" s="6" t="s">
        <v>26</v>
      </c>
      <c r="C1" s="6" t="s">
        <v>27</v>
      </c>
      <c r="D1" s="6" t="s">
        <v>28</v>
      </c>
      <c r="E1" s="6" t="s">
        <v>29</v>
      </c>
      <c r="F1" s="6" t="s">
        <v>30</v>
      </c>
      <c r="G1" s="6" t="s">
        <v>31</v>
      </c>
    </row>
    <row r="2" spans="1:9">
      <c r="A2" t="s">
        <v>33</v>
      </c>
      <c r="B2" s="5">
        <v>42296</v>
      </c>
      <c r="C2">
        <v>303</v>
      </c>
      <c r="D2">
        <v>303</v>
      </c>
      <c r="E2">
        <v>298</v>
      </c>
      <c r="F2">
        <v>298</v>
      </c>
      <c r="G2" s="8">
        <v>1941800</v>
      </c>
      <c r="I2" t="str">
        <f>toCSV(A2:G2)</f>
        <v>AOT,10/19/2015,303,303,298,298,1941800</v>
      </c>
    </row>
    <row r="3" spans="1:9">
      <c r="A3" t="s">
        <v>33</v>
      </c>
      <c r="B3" s="5">
        <v>42297</v>
      </c>
      <c r="C3">
        <v>297</v>
      </c>
      <c r="D3">
        <v>302</v>
      </c>
      <c r="E3">
        <v>296</v>
      </c>
      <c r="F3">
        <v>300</v>
      </c>
      <c r="G3" s="8">
        <v>1553000</v>
      </c>
    </row>
    <row r="4" spans="1:9">
      <c r="A4" t="s">
        <v>33</v>
      </c>
      <c r="B4" s="5">
        <v>42298</v>
      </c>
      <c r="C4">
        <v>301</v>
      </c>
      <c r="D4">
        <v>302</v>
      </c>
      <c r="E4">
        <v>298</v>
      </c>
      <c r="F4">
        <v>300</v>
      </c>
      <c r="G4" s="8">
        <v>1856000</v>
      </c>
    </row>
    <row r="5" spans="1:9">
      <c r="A5" t="s">
        <v>33</v>
      </c>
      <c r="B5" s="5">
        <v>42299</v>
      </c>
      <c r="C5">
        <v>301</v>
      </c>
      <c r="D5">
        <v>302</v>
      </c>
      <c r="E5">
        <v>298</v>
      </c>
      <c r="F5">
        <v>298</v>
      </c>
      <c r="G5" s="8">
        <v>1571600</v>
      </c>
    </row>
    <row r="6" spans="1:9">
      <c r="A6" t="s">
        <v>33</v>
      </c>
      <c r="B6" s="5">
        <v>42303</v>
      </c>
      <c r="C6">
        <v>302</v>
      </c>
      <c r="D6">
        <v>303</v>
      </c>
      <c r="E6">
        <v>299</v>
      </c>
      <c r="F6">
        <v>302</v>
      </c>
      <c r="G6" s="8">
        <v>3737100</v>
      </c>
    </row>
    <row r="7" spans="1:9">
      <c r="A7" t="s">
        <v>33</v>
      </c>
      <c r="B7" s="5">
        <v>42304</v>
      </c>
      <c r="C7">
        <v>302</v>
      </c>
      <c r="D7">
        <v>303</v>
      </c>
      <c r="E7">
        <v>299</v>
      </c>
      <c r="F7">
        <v>301</v>
      </c>
      <c r="G7" s="8">
        <v>1927100</v>
      </c>
    </row>
    <row r="8" spans="1:9">
      <c r="A8" t="s">
        <v>33</v>
      </c>
      <c r="B8" s="5">
        <v>42305</v>
      </c>
      <c r="C8">
        <v>299</v>
      </c>
      <c r="D8">
        <v>303</v>
      </c>
      <c r="E8">
        <v>298</v>
      </c>
      <c r="F8">
        <v>299</v>
      </c>
      <c r="G8" s="8">
        <v>2318500</v>
      </c>
    </row>
    <row r="9" spans="1:9">
      <c r="A9" t="s">
        <v>33</v>
      </c>
      <c r="B9" s="5">
        <v>42306</v>
      </c>
      <c r="C9">
        <v>299</v>
      </c>
      <c r="D9">
        <v>301</v>
      </c>
      <c r="E9">
        <v>293</v>
      </c>
      <c r="F9">
        <v>295</v>
      </c>
      <c r="G9" s="8">
        <v>2928600</v>
      </c>
    </row>
    <row r="10" spans="1:9">
      <c r="A10" t="s">
        <v>33</v>
      </c>
      <c r="B10" s="5">
        <v>42307</v>
      </c>
      <c r="C10">
        <v>296</v>
      </c>
      <c r="D10">
        <v>298</v>
      </c>
      <c r="E10">
        <v>295</v>
      </c>
      <c r="F10">
        <v>298</v>
      </c>
      <c r="G10" s="8">
        <v>2257100</v>
      </c>
    </row>
    <row r="11" spans="1:9">
      <c r="A11" t="s">
        <v>33</v>
      </c>
      <c r="B11" s="5">
        <v>42310</v>
      </c>
      <c r="C11">
        <v>299</v>
      </c>
      <c r="D11">
        <v>304</v>
      </c>
      <c r="E11">
        <v>297</v>
      </c>
      <c r="F11">
        <v>304</v>
      </c>
      <c r="G11" s="8">
        <v>2348900</v>
      </c>
    </row>
    <row r="12" spans="1:9">
      <c r="A12" t="s">
        <v>33</v>
      </c>
      <c r="B12" s="5">
        <v>42311</v>
      </c>
      <c r="C12">
        <v>305</v>
      </c>
      <c r="D12">
        <v>305</v>
      </c>
      <c r="E12">
        <v>302</v>
      </c>
      <c r="F12">
        <v>305</v>
      </c>
      <c r="G12" s="8">
        <v>2709000</v>
      </c>
    </row>
    <row r="13" spans="1:9">
      <c r="A13" t="s">
        <v>33</v>
      </c>
      <c r="B13" s="5">
        <v>42312</v>
      </c>
      <c r="C13">
        <v>305</v>
      </c>
      <c r="D13">
        <v>309</v>
      </c>
      <c r="E13">
        <v>304</v>
      </c>
      <c r="F13">
        <v>307</v>
      </c>
      <c r="G13" s="8">
        <v>4109700</v>
      </c>
    </row>
    <row r="14" spans="1:9">
      <c r="A14" t="s">
        <v>33</v>
      </c>
      <c r="B14" s="5">
        <v>42313</v>
      </c>
      <c r="C14">
        <v>307</v>
      </c>
      <c r="D14">
        <v>308</v>
      </c>
      <c r="E14">
        <v>304</v>
      </c>
      <c r="F14">
        <v>308</v>
      </c>
      <c r="G14" s="8">
        <v>1258700</v>
      </c>
    </row>
    <row r="15" spans="1:9">
      <c r="A15" t="s">
        <v>33</v>
      </c>
      <c r="B15" s="5">
        <v>42314</v>
      </c>
      <c r="C15">
        <v>308</v>
      </c>
      <c r="D15">
        <v>309</v>
      </c>
      <c r="E15">
        <v>306</v>
      </c>
      <c r="F15">
        <v>308</v>
      </c>
      <c r="G15" s="8">
        <v>1209600</v>
      </c>
    </row>
  </sheetData>
  <sortState ref="A2:G15">
    <sortCondition ref="B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3"/>
  <sheetViews>
    <sheetView zoomScaleNormal="100" workbookViewId="0">
      <selection activeCell="I1" sqref="I1:I13"/>
    </sheetView>
  </sheetViews>
  <sheetFormatPr defaultRowHeight="15"/>
  <cols>
    <col min="1" max="1" width="11.85546875" customWidth="1"/>
    <col min="2" max="2" width="7" customWidth="1"/>
    <col min="3" max="6" width="15.7109375" customWidth="1"/>
  </cols>
  <sheetData>
    <row r="1" spans="1:9" ht="15.75" thickBot="1">
      <c r="A1" s="3" t="s">
        <v>0</v>
      </c>
      <c r="B1" s="3" t="s">
        <v>1</v>
      </c>
      <c r="C1" s="3" t="s">
        <v>2</v>
      </c>
      <c r="D1" s="3" t="s">
        <v>43</v>
      </c>
      <c r="E1" s="3" t="s">
        <v>42</v>
      </c>
      <c r="F1" s="4" t="s">
        <v>3</v>
      </c>
      <c r="G1" s="4" t="s">
        <v>22</v>
      </c>
      <c r="I1" t="str">
        <f>toCSV(A1:G1,"|")</f>
        <v>ชื่อ|เพศ|ตำแหน่ง|วันเกิด|วันเริ่มงาน|เงินเดือน|โบนัส</v>
      </c>
    </row>
    <row r="2" spans="1:9">
      <c r="A2" s="1" t="s">
        <v>25</v>
      </c>
      <c r="B2" s="1" t="s">
        <v>4</v>
      </c>
      <c r="C2" t="s">
        <v>5</v>
      </c>
      <c r="D2" s="10">
        <f ca="1">RANDBETWEEN(DATE(1970,1,1),DATE(1990,1,1))</f>
        <v>30058</v>
      </c>
      <c r="E2" s="9">
        <f ca="1">RANDBETWEEN(DATE(1995,1,1),DATE(2010,1,1))</f>
        <v>36815</v>
      </c>
      <c r="F2" s="2">
        <v>200000</v>
      </c>
      <c r="G2" s="7">
        <f>F2*3</f>
        <v>600000</v>
      </c>
      <c r="I2" t="str">
        <f t="shared" ref="I2:I13" ca="1" si="0">toCSV(A2:G2,"|")</f>
        <v>เอกชาติ|M|ผู้จัดการ|4/17/1982|10/16/2000|200000|600000</v>
      </c>
    </row>
    <row r="3" spans="1:9">
      <c r="A3" s="1" t="s">
        <v>13</v>
      </c>
      <c r="B3" s="1" t="s">
        <v>6</v>
      </c>
      <c r="C3" t="s">
        <v>7</v>
      </c>
      <c r="D3" s="10">
        <f t="shared" ref="D3:D13" ca="1" si="1">RANDBETWEEN(DATE(1970,1,1),DATE(1990,1,1))</f>
        <v>31844</v>
      </c>
      <c r="E3" s="9">
        <f t="shared" ref="E3:E13" ca="1" si="2">RANDBETWEEN(DATE(1995,1,1),DATE(2010,1,1))</f>
        <v>36997</v>
      </c>
      <c r="F3" s="2">
        <v>54000</v>
      </c>
      <c r="G3" s="7">
        <f t="shared" ref="G3:G10" si="3">F3*3</f>
        <v>162000</v>
      </c>
      <c r="I3" t="str">
        <f t="shared" ca="1" si="0"/>
        <v>เพียงดาว|F|เจ้าหน้าที่อาวุโส|3/8/1987|4/16/2001|54000|162000</v>
      </c>
    </row>
    <row r="4" spans="1:9">
      <c r="A4" s="1" t="s">
        <v>12</v>
      </c>
      <c r="B4" s="1" t="s">
        <v>6</v>
      </c>
      <c r="C4" t="s">
        <v>8</v>
      </c>
      <c r="D4" s="10">
        <f t="shared" ca="1" si="1"/>
        <v>26603</v>
      </c>
      <c r="E4" s="9">
        <f t="shared" ca="1" si="2"/>
        <v>38527</v>
      </c>
      <c r="F4" s="2">
        <v>72000</v>
      </c>
      <c r="G4" s="7">
        <f t="shared" si="3"/>
        <v>216000</v>
      </c>
      <c r="I4" t="str">
        <f t="shared" ca="1" si="0"/>
        <v>ปลายฟ้า|F|ผู้ช่วยผู้จัดการ|10/31/1972|6/24/2005|72000|216000</v>
      </c>
    </row>
    <row r="5" spans="1:9">
      <c r="A5" s="1" t="s">
        <v>14</v>
      </c>
      <c r="B5" s="1" t="s">
        <v>6</v>
      </c>
      <c r="C5" t="s">
        <v>9</v>
      </c>
      <c r="D5" s="10">
        <f t="shared" ca="1" si="1"/>
        <v>30110</v>
      </c>
      <c r="E5" s="9">
        <f t="shared" ca="1" si="2"/>
        <v>40041</v>
      </c>
      <c r="F5" s="2">
        <v>31000</v>
      </c>
      <c r="G5" s="7">
        <f t="shared" si="3"/>
        <v>93000</v>
      </c>
      <c r="I5" t="str">
        <f t="shared" ca="1" si="0"/>
        <v>ทอรุ้ง|F|ผู้ชำนาญงาน|6/8/1982|8/16/2009|31000|93000</v>
      </c>
    </row>
    <row r="6" spans="1:9">
      <c r="A6" s="1" t="s">
        <v>15</v>
      </c>
      <c r="B6" s="1" t="s">
        <v>6</v>
      </c>
      <c r="C6" t="s">
        <v>7</v>
      </c>
      <c r="D6" s="10">
        <f t="shared" ca="1" si="1"/>
        <v>30308</v>
      </c>
      <c r="E6" s="9">
        <f t="shared" ca="1" si="2"/>
        <v>37699</v>
      </c>
      <c r="F6" s="2">
        <v>50500</v>
      </c>
      <c r="G6" s="7">
        <f t="shared" si="3"/>
        <v>151500</v>
      </c>
      <c r="I6" t="str">
        <f t="shared" ca="1" si="0"/>
        <v>ฟ้าใส|F|เจ้าหน้าที่อาวุโส|12/23/1982|3/19/2003|50500|151500</v>
      </c>
    </row>
    <row r="7" spans="1:9">
      <c r="A7" s="1" t="s">
        <v>16</v>
      </c>
      <c r="B7" s="1" t="s">
        <v>6</v>
      </c>
      <c r="C7" t="s">
        <v>5</v>
      </c>
      <c r="D7" s="10">
        <f t="shared" ca="1" si="1"/>
        <v>28864</v>
      </c>
      <c r="E7" s="9">
        <f t="shared" ca="1" si="2"/>
        <v>38217</v>
      </c>
      <c r="F7" s="2">
        <v>106000</v>
      </c>
      <c r="G7" s="7">
        <f t="shared" si="3"/>
        <v>318000</v>
      </c>
      <c r="I7" t="str">
        <f t="shared" ca="1" si="0"/>
        <v>กอหญ้า|F|ผู้จัดการ|1/9/1979|8/18/2004|106000|318000</v>
      </c>
    </row>
    <row r="8" spans="1:9">
      <c r="A8" s="1" t="s">
        <v>17</v>
      </c>
      <c r="B8" s="1" t="s">
        <v>6</v>
      </c>
      <c r="C8" t="s">
        <v>8</v>
      </c>
      <c r="D8" s="10">
        <f t="shared" ca="1" si="1"/>
        <v>25574</v>
      </c>
      <c r="E8" s="9">
        <f t="shared" ca="1" si="2"/>
        <v>39902</v>
      </c>
      <c r="F8" s="2">
        <v>75000</v>
      </c>
      <c r="G8" s="7">
        <f t="shared" si="3"/>
        <v>225000</v>
      </c>
      <c r="I8" t="str">
        <f t="shared" ca="1" si="0"/>
        <v>เกนหลง|F|ผู้ช่วยผู้จัดการ|1/6/1970|3/30/2009|75000|225000</v>
      </c>
    </row>
    <row r="9" spans="1:9">
      <c r="A9" s="1" t="s">
        <v>18</v>
      </c>
      <c r="B9" s="1" t="s">
        <v>4</v>
      </c>
      <c r="C9" t="s">
        <v>5</v>
      </c>
      <c r="D9" s="10">
        <f t="shared" ca="1" si="1"/>
        <v>26837</v>
      </c>
      <c r="E9" s="9">
        <f t="shared" ca="1" si="2"/>
        <v>36865</v>
      </c>
      <c r="F9" s="2">
        <v>102000</v>
      </c>
      <c r="G9" s="7">
        <f t="shared" si="3"/>
        <v>306000</v>
      </c>
      <c r="I9" t="str">
        <f t="shared" ca="1" si="0"/>
        <v>เขมชาติ|M|ผู้จัดการ|6/22/1973|12/5/2000|102000|306000</v>
      </c>
    </row>
    <row r="10" spans="1:9">
      <c r="A10" s="1" t="s">
        <v>19</v>
      </c>
      <c r="B10" s="1" t="s">
        <v>4</v>
      </c>
      <c r="C10" t="s">
        <v>10</v>
      </c>
      <c r="D10" s="10">
        <f t="shared" ca="1" si="1"/>
        <v>30229</v>
      </c>
      <c r="E10" s="9">
        <f t="shared" ca="1" si="2"/>
        <v>37981</v>
      </c>
      <c r="F10" s="2">
        <v>18500</v>
      </c>
      <c r="G10" s="7">
        <f t="shared" si="3"/>
        <v>55500</v>
      </c>
      <c r="I10" t="str">
        <f t="shared" ca="1" si="0"/>
        <v>เอื้อ|M|พนักงานระดับต้น|10/5/1982|12/26/2003|18500|55500</v>
      </c>
    </row>
    <row r="11" spans="1:9">
      <c r="A11" s="1" t="s">
        <v>11</v>
      </c>
      <c r="B11" s="1" t="s">
        <v>6</v>
      </c>
      <c r="C11" t="s">
        <v>23</v>
      </c>
      <c r="D11" s="10">
        <f t="shared" ca="1" si="1"/>
        <v>27143</v>
      </c>
      <c r="E11" s="9">
        <f t="shared" ca="1" si="2"/>
        <v>35765</v>
      </c>
      <c r="F11" s="2">
        <v>77500</v>
      </c>
      <c r="G11" s="7">
        <f>F11*3</f>
        <v>232500</v>
      </c>
      <c r="I11" t="str">
        <f t="shared" ca="1" si="0"/>
        <v>พลอยไพลิน|F|พนักงานขาย|4/24/1974|12/1/1997|77500|232500</v>
      </c>
    </row>
    <row r="12" spans="1:9">
      <c r="A12" s="1" t="s">
        <v>20</v>
      </c>
      <c r="B12" s="1" t="s">
        <v>4</v>
      </c>
      <c r="C12" t="s">
        <v>24</v>
      </c>
      <c r="D12" s="10">
        <f t="shared" ca="1" si="1"/>
        <v>27481</v>
      </c>
      <c r="E12" s="9">
        <f t="shared" ca="1" si="2"/>
        <v>37297</v>
      </c>
      <c r="F12" s="2">
        <v>73000</v>
      </c>
      <c r="G12" s="7">
        <f>F12*3</f>
        <v>219000</v>
      </c>
      <c r="I12" t="str">
        <f t="shared" ca="1" si="0"/>
        <v>ต้นน้ำ|M|สินเชื่อ|3/28/1975|2/10/2002|73000|219000</v>
      </c>
    </row>
    <row r="13" spans="1:9">
      <c r="A13" s="1" t="s">
        <v>21</v>
      </c>
      <c r="B13" s="1" t="s">
        <v>4</v>
      </c>
      <c r="C13" t="s">
        <v>8</v>
      </c>
      <c r="D13" s="10">
        <f t="shared" ca="1" si="1"/>
        <v>28739</v>
      </c>
      <c r="E13" s="9">
        <f t="shared" ca="1" si="2"/>
        <v>39008</v>
      </c>
      <c r="F13" s="2">
        <v>74000</v>
      </c>
      <c r="G13" s="7">
        <f>F13*3</f>
        <v>222000</v>
      </c>
      <c r="I13" t="str">
        <f t="shared" ca="1" si="0"/>
        <v>เพชร|M|ผู้ช่วยผู้จัดการ|9/6/1978|10/18/2006|74000|222000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"/>
  <sheetViews>
    <sheetView workbookViewId="0">
      <selection activeCell="C10" sqref="C10"/>
    </sheetView>
  </sheetViews>
  <sheetFormatPr defaultRowHeight="15"/>
  <cols>
    <col min="1" max="1" width="10.85546875" bestFit="1" customWidth="1"/>
    <col min="2" max="3" width="12.42578125" bestFit="1" customWidth="1"/>
    <col min="4" max="4" width="12.42578125" customWidth="1"/>
    <col min="6" max="6" width="22.7109375" bestFit="1" customWidth="1"/>
    <col min="9" max="9" width="28.85546875" bestFit="1" customWidth="1"/>
  </cols>
  <sheetData>
    <row r="1" spans="1:9" ht="15.75" thickBot="1">
      <c r="A1" s="6" t="s">
        <v>44</v>
      </c>
      <c r="B1" s="6" t="s">
        <v>40</v>
      </c>
      <c r="C1" s="6" t="s">
        <v>41</v>
      </c>
      <c r="F1" t="str">
        <f>toCSV(A1:C1)</f>
        <v>Thai,Japanese,English</v>
      </c>
      <c r="I1" t="str">
        <f>toCSV(A1:C1,"|",TRUE)</f>
        <v>"Thai"|"Japanese"|"English"</v>
      </c>
    </row>
    <row r="2" spans="1:9">
      <c r="A2" t="s">
        <v>45</v>
      </c>
      <c r="B2" t="s">
        <v>34</v>
      </c>
      <c r="C2" t="s">
        <v>36</v>
      </c>
      <c r="F2" t="str">
        <f t="shared" ref="F2:F4" si="0">toCSV(A2:C2)</f>
        <v>สวัสดี,こんにちは,hello</v>
      </c>
      <c r="I2" t="str">
        <f t="shared" ref="I2:I4" si="1">toCSV(A2:C2,"|",TRUE)</f>
        <v>"สวัสดี"|"こんにちは"|"hello"</v>
      </c>
    </row>
    <row r="3" spans="1:9">
      <c r="A3" t="s">
        <v>46</v>
      </c>
      <c r="B3" t="s">
        <v>35</v>
      </c>
      <c r="C3" t="s">
        <v>37</v>
      </c>
      <c r="F3" t="str">
        <f t="shared" si="0"/>
        <v>สายรุ้ง,虹,rainbow</v>
      </c>
      <c r="I3" t="str">
        <f t="shared" si="1"/>
        <v>"สายรุ้ง"|"虹"|"rainbow"</v>
      </c>
    </row>
    <row r="4" spans="1:9">
      <c r="A4" t="s">
        <v>47</v>
      </c>
      <c r="B4" t="s">
        <v>38</v>
      </c>
      <c r="C4" t="s">
        <v>39</v>
      </c>
      <c r="F4" t="str">
        <f t="shared" si="0"/>
        <v>พระอาทิตย์,太陽,sun</v>
      </c>
      <c r="I4" t="str">
        <f t="shared" si="1"/>
        <v>"พระอาทิตย์"|"太陽"|"sun"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4</vt:i4>
      </vt:variant>
      <vt:variant>
        <vt:lpstr>ช่วงที่มีชื่อ</vt:lpstr>
      </vt:variant>
      <vt:variant>
        <vt:i4>1</vt:i4>
      </vt:variant>
    </vt:vector>
  </HeadingPairs>
  <TitlesOfParts>
    <vt:vector size="5" baseType="lpstr">
      <vt:lpstr>Lab</vt:lpstr>
      <vt:lpstr>Stock</vt:lpstr>
      <vt:lpstr>Unicode</vt:lpstr>
      <vt:lpstr>Japanese</vt:lpstr>
      <vt:lpstr>Unicode!_data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Employee data</dc:title>
  <dc:creator>prasert</dc:creator>
  <cp:keywords>Conditional format;Sort;Aggregate</cp:keywords>
  <cp:lastModifiedBy>Windows User</cp:lastModifiedBy>
  <dcterms:created xsi:type="dcterms:W3CDTF">2011-04-24T06:05:42Z</dcterms:created>
  <dcterms:modified xsi:type="dcterms:W3CDTF">2020-04-21T16:58:03Z</dcterms:modified>
</cp:coreProperties>
</file>